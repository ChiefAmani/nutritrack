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Model" sheetId="2" state="visible" r:id="rId2"/>
    <sheet xmlns:r="http://schemas.openxmlformats.org/officeDocument/2006/relationships" name="Risk Assess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1" fontId="0" fillId="0" borderId="1" pivotButton="0" quotePrefix="0" xfId="0"/>
    <xf numFmtId="165" fontId="0" fillId="0" borderId="1" pivotButton="0" quotePrefix="0" xfId="0"/>
    <xf numFmtId="0" fontId="2" fillId="3" borderId="1" pivotButton="0" quotePrefix="0" xfId="0"/>
    <xf numFmtId="2" fontId="0" fillId="0" borderId="1" pivotButton="0" quotePrefix="0" xfId="0"/>
    <xf numFmtId="164" fontId="0" fillId="4" borderId="1" pivotButton="0" quotePrefix="0" xfId="0"/>
    <xf numFmtId="164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Financial Model Assumptions</t>
        </is>
      </c>
    </row>
    <row r="2">
      <c r="A2" s="2" t="inlineStr">
        <is>
          <t>Metric</t>
        </is>
      </c>
      <c r="B2" s="2" t="inlineStr">
        <is>
          <t>Bear Case (-20%)</t>
        </is>
      </c>
      <c r="C2" s="2" t="inlineStr">
        <is>
          <t>Base Case</t>
        </is>
      </c>
      <c r="D2" s="2" t="inlineStr">
        <is>
          <t>Bull Case (+20%)</t>
        </is>
      </c>
    </row>
    <row r="3">
      <c r="A3" s="3" t="inlineStr">
        <is>
          <t>Monthly ARPU ($)</t>
        </is>
      </c>
      <c r="B3" s="4" t="n">
        <v>7.2</v>
      </c>
      <c r="C3" s="4" t="n">
        <v>9</v>
      </c>
      <c r="D3" s="4" t="n">
        <v>10.8</v>
      </c>
    </row>
    <row r="4">
      <c r="A4" s="3" t="inlineStr">
        <is>
          <t>Target Users (90 Days)</t>
        </is>
      </c>
      <c r="B4" s="5" t="n">
        <v>400</v>
      </c>
      <c r="C4" s="5" t="n">
        <v>500</v>
      </c>
      <c r="D4" s="5" t="n">
        <v>600</v>
      </c>
    </row>
    <row r="5">
      <c r="A5" s="3" t="inlineStr">
        <is>
          <t>Customer Acquisition Cost (CAC) ($)</t>
        </is>
      </c>
      <c r="B5" s="4" t="n">
        <v>60</v>
      </c>
      <c r="C5" s="4" t="n">
        <v>50</v>
      </c>
      <c r="D5" s="4" t="n">
        <v>40</v>
      </c>
    </row>
    <row r="6">
      <c r="A6" s="3" t="inlineStr">
        <is>
          <t>Monthly Churn Rate (%)</t>
        </is>
      </c>
      <c r="B6" s="6" t="n">
        <v>0.1</v>
      </c>
      <c r="C6" s="6" t="n">
        <v>0.08</v>
      </c>
      <c r="D6" s="6" t="n">
        <v>0.06</v>
      </c>
    </row>
    <row r="7">
      <c r="A7" s="3" t="inlineStr">
        <is>
          <t>Gross Margin (%)</t>
        </is>
      </c>
      <c r="B7" s="6" t="n">
        <v>0.7</v>
      </c>
      <c r="C7" s="6" t="n">
        <v>0.75</v>
      </c>
      <c r="D7" s="6" t="n">
        <v>0.8</v>
      </c>
    </row>
    <row r="8">
      <c r="A8" s="3" t="inlineStr">
        <is>
          <t>Monthly Operating Expenses (OpEx) ($)</t>
        </is>
      </c>
      <c r="B8" s="4" t="n">
        <v>2400</v>
      </c>
      <c r="C8" s="4" t="n">
        <v>2000</v>
      </c>
      <c r="D8" s="4" t="n">
        <v>1600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NutriTrack 90-Day Financial Model</t>
        </is>
      </c>
    </row>
    <row r="2">
      <c r="A2" s="2" t="inlineStr">
        <is>
          <t>Metric</t>
        </is>
      </c>
      <c r="B2" s="2" t="inlineStr">
        <is>
          <t>Bear Case</t>
        </is>
      </c>
      <c r="C2" s="2" t="inlineStr">
        <is>
          <t>Base Case</t>
        </is>
      </c>
      <c r="D2" s="2" t="inlineStr">
        <is>
          <t>Bull Case</t>
        </is>
      </c>
    </row>
    <row r="3">
      <c r="A3" s="3" t="inlineStr">
        <is>
          <t>Target Users (End of 90 Days)</t>
        </is>
      </c>
      <c r="B3" s="5">
        <f>Assumptions!B4</f>
        <v/>
      </c>
      <c r="C3" s="5">
        <f>Assumptions!C4</f>
        <v/>
      </c>
      <c r="D3" s="5">
        <f>Assumptions!D4</f>
        <v/>
      </c>
    </row>
    <row r="4">
      <c r="A4" s="3" t="inlineStr">
        <is>
          <t>Monthly ARPU</t>
        </is>
      </c>
      <c r="B4" s="4">
        <f>Assumptions!B3</f>
        <v/>
      </c>
      <c r="C4" s="4">
        <f>Assumptions!C3</f>
        <v/>
      </c>
      <c r="D4" s="4">
        <f>Assumptions!D3</f>
        <v/>
      </c>
    </row>
    <row r="5">
      <c r="A5" s="3" t="inlineStr">
        <is>
          <t>Total MRR (End of 90 Days)</t>
        </is>
      </c>
      <c r="B5" s="4">
        <f>B3*B4</f>
        <v/>
      </c>
      <c r="C5" s="4">
        <f>C3*C4</f>
        <v/>
      </c>
      <c r="D5" s="4">
        <f>D3*D4</f>
        <v/>
      </c>
    </row>
    <row r="6">
      <c r="A6" s="7" t="inlineStr">
        <is>
          <t>Unit Economics</t>
        </is>
      </c>
    </row>
    <row r="7">
      <c r="A7" s="3" t="inlineStr">
        <is>
          <t>Customer Acquisition Cost (CAC)</t>
        </is>
      </c>
      <c r="B7" s="4">
        <f>Assumptions!B5</f>
        <v/>
      </c>
      <c r="C7" s="4">
        <f>Assumptions!C5</f>
        <v/>
      </c>
      <c r="D7" s="4">
        <f>Assumptions!D5</f>
        <v/>
      </c>
    </row>
    <row r="8">
      <c r="A8" s="3" t="inlineStr">
        <is>
          <t>Lifetime Value (LTV)</t>
        </is>
      </c>
      <c r="B8" s="4">
        <f>B4*Assumptions!B7/Assumptions!B6</f>
        <v/>
      </c>
      <c r="C8" s="4">
        <f>C4*Assumptions!C7/Assumptions!C6</f>
        <v/>
      </c>
      <c r="D8" s="4">
        <f>D4*Assumptions!D7/Assumptions!D6</f>
        <v/>
      </c>
    </row>
    <row r="9">
      <c r="A9" s="3" t="inlineStr">
        <is>
          <t>LTV:CAC Ratio</t>
        </is>
      </c>
      <c r="B9" s="8">
        <f>B8/B7</f>
        <v/>
      </c>
      <c r="C9" s="8">
        <f>C8/C7</f>
        <v/>
      </c>
      <c r="D9" s="8">
        <f>D8/D7</f>
        <v/>
      </c>
    </row>
    <row r="10">
      <c r="A10" s="3" t="inlineStr">
        <is>
          <t>Payback Period (Months)</t>
        </is>
      </c>
      <c r="B10" s="8">
        <f>B7/(B4*Assumptions!B7)</f>
        <v/>
      </c>
      <c r="C10" s="8">
        <f>C7/(C4*Assumptions!C7)</f>
        <v/>
      </c>
      <c r="D10" s="8">
        <f>D7/(D4*Assumptions!D7)</f>
        <v/>
      </c>
    </row>
    <row r="11">
      <c r="A11" s="7" t="inlineStr">
        <is>
          <t>Profitability (Monthly at 90-day target)</t>
        </is>
      </c>
    </row>
    <row r="12">
      <c r="A12" s="3" t="inlineStr">
        <is>
          <t>Gross Profit</t>
        </is>
      </c>
      <c r="B12" s="4">
        <f>B5*Assumptions!B7</f>
        <v/>
      </c>
      <c r="C12" s="4">
        <f>C5*Assumptions!C7</f>
        <v/>
      </c>
      <c r="D12" s="4">
        <f>D5*Assumptions!D7</f>
        <v/>
      </c>
    </row>
    <row r="13">
      <c r="A13" s="3" t="inlineStr">
        <is>
          <t>Operating Expenses</t>
        </is>
      </c>
      <c r="B13" s="4">
        <f>Assumptions!B8</f>
        <v/>
      </c>
      <c r="C13" s="4">
        <f>Assumptions!C8</f>
        <v/>
      </c>
      <c r="D13" s="4">
        <f>Assumptions!D8</f>
        <v/>
      </c>
    </row>
    <row r="14">
      <c r="A14" s="3" t="inlineStr">
        <is>
          <t>Net Income</t>
        </is>
      </c>
      <c r="B14" s="9">
        <f>B12-B13</f>
        <v/>
      </c>
      <c r="C14" s="10">
        <f>C12-C13</f>
        <v/>
      </c>
      <c r="D14" s="10">
        <f>D12-D13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5" customWidth="1" min="4" max="4"/>
    <col width="15" customWidth="1" min="5" max="5"/>
    <col width="60" customWidth="1" min="6" max="6"/>
  </cols>
  <sheetData>
    <row r="1">
      <c r="A1" s="1" t="inlineStr">
        <is>
          <t>NutriTrack Risk Assessment</t>
        </is>
      </c>
    </row>
    <row r="2">
      <c r="A2" s="2" t="inlineStr">
        <is>
          <t>Risk Name</t>
        </is>
      </c>
      <c r="B2" s="2" t="inlineStr">
        <is>
          <t>Category</t>
        </is>
      </c>
      <c r="C2" s="2" t="inlineStr">
        <is>
          <t>Probability (1-5)</t>
        </is>
      </c>
      <c r="D2" s="2" t="inlineStr">
        <is>
          <t>Impact (1-5)</t>
        </is>
      </c>
      <c r="E2" s="2" t="inlineStr">
        <is>
          <t>Risk Score (P x I)</t>
        </is>
      </c>
      <c r="F2" s="2" t="inlineStr">
        <is>
          <t>Mitigation</t>
        </is>
      </c>
    </row>
    <row r="3">
      <c r="A3" s="3" t="inlineStr">
        <is>
          <t>Low LTV:CAC Ratio (Financial Sustainability)</t>
        </is>
      </c>
      <c r="B3" s="3" t="inlineStr">
        <is>
          <t>Financial Risk</t>
        </is>
      </c>
      <c r="C3" s="5" t="n">
        <v>4</v>
      </c>
      <c r="D3" s="5" t="n">
        <v>5</v>
      </c>
      <c r="E3" s="5">
        <f>C3*D3</f>
        <v/>
      </c>
      <c r="F3" s="3" t="inlineStr">
        <is>
          <t>Aggressively optimize marketing channels for lower CAC; focus on retention to reduce churn and increase LTV; explore pricing strategies.</t>
        </is>
      </c>
    </row>
    <row r="4">
      <c r="A4" s="3" t="inlineStr">
        <is>
          <t>Competitive Response/Pricing Pressure</t>
        </is>
      </c>
      <c r="B4" s="3" t="inlineStr">
        <is>
          <t>Market Risk</t>
        </is>
      </c>
      <c r="C4" s="5" t="n">
        <v>3</v>
      </c>
      <c r="D4" s="5" t="n">
        <v>4</v>
      </c>
      <c r="E4" s="5">
        <f>C4*D4</f>
        <v/>
      </c>
      <c r="F4" s="3" t="inlineStr">
        <is>
          <t>Differentiate clearly on AI-driven personalization and comprehensive features; monitor competitor pricing; build strong community/brand loyalty.</t>
        </is>
      </c>
    </row>
    <row r="5">
      <c r="A5" s="3" t="inlineStr">
        <is>
          <t>User Acquisition Target Miss</t>
        </is>
      </c>
      <c r="B5" s="3" t="inlineStr">
        <is>
          <t>Execution Risk</t>
        </is>
      </c>
      <c r="C5" s="5" t="n">
        <v>4</v>
      </c>
      <c r="D5" s="5" t="n">
        <v>3</v>
      </c>
      <c r="E5" s="5">
        <f>C5*D5</f>
        <v/>
      </c>
      <c r="F5" s="3" t="inlineStr">
        <is>
          <t>Diversify GTM channels; A/B test marketing messages; closely monitor conversion rates; have contingency plans for marketing spend.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2026-05-18T03:33:53Z</dcterms:created>
  <dcterms:modified xmlns:dcterms="http://purl.org/dc/terms/" xmlns:xsi="http://www.w3.org/2001/XMLSchema-instance" xsi:type="dcterms:W3CDTF">2026-05-18T03:33:53Z</dcterms:modified>
</cp:coreProperties>
</file>